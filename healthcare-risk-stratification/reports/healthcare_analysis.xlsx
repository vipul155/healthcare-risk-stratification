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a8f8a4145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6f7738bd0204398"/>
    <x:sheet xmlns:r="http://schemas.openxmlformats.org/officeDocument/2006/relationships" name="Diagnosis" sheetId="2" r:id="R45d6b1b477b74c2f"/>
    <x:sheet xmlns:r="http://schemas.openxmlformats.org/officeDocument/2006/relationships" name="Outcome Mix" sheetId="3" r:id="R7686ee672ea84e73"/>
    <x:sheet xmlns:r="http://schemas.openxmlformats.org/officeDocument/2006/relationships" name="Data QA" sheetId="4" r:id="Rb075848346c74199"/>
    <x:sheet xmlns:r="http://schemas.openxmlformats.org/officeDocument/2006/relationships" name="Model Review" sheetId="5" r:id="R021a90323502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"/>
    <x:numFmt numFmtId="203" formatCode="#,##0.00"/>
    <x:numFmt numFmtId="204" formatCode="0.000"/>
  </x:numFmts>
  <x:fonts count="11">
    <x:font>
      <x:sz val="11"/>
      <x:name val="Carlito"/>
    </x:font>
    <x:font>
      <x:sz val="10"/>
      <x:color rgb="FF243449"/>
      <x:name val="Arial"/>
    </x:font>
    <x:font>
      <x:b/>
      <x:sz val="16"/>
      <x:color rgb="FF17324D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b/>
      <x:sz val="11"/>
      <x:color rgb="FF17324D"/>
      <x:name val="Arial"/>
    </x:font>
    <x:font>
      <x:sz val="10"/>
      <x:color rgb="FF526579"/>
      <x:name val="Arial"/>
    </x:font>
    <x:font>
      <x:i/>
      <x:sz val="10"/>
      <x:color rgb="FFB45309"/>
      <x:name val="Arial"/>
    </x:font>
    <x:font>
      <x:b/>
      <x:sz val="10"/>
      <x:color rgb="FF17324D"/>
      <x:name val="Arial"/>
    </x:font>
    <x:font>
      <x:sz val="10"/>
      <x:color rgb="FFB45309"/>
      <x:name val="Arial"/>
    </x:font>
    <x:font>
      <x:i/>
      <x:sz val="9"/>
      <x:color rgb="FF52657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2EA"/>
      </x:bottom>
      <x:diagonal/>
    </x:border>
    <x:border>
      <x:left/>
      <x:right/>
      <x:top style="thin">
        <x:color rgb="FFD9E2EA"/>
      </x:top>
      <x:bottom style="thin">
        <x:color rgb="FFD9E2EA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202" fontId="1" fillId="0" borderId="1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200" fontId="8" fillId="3" borderId="2" xfId="0" applyNumberFormat="1" applyFont="1" applyFill="1" applyBorder="1" applyAlignment="1">
      <x:alignment vertical="center"/>
    </x:xf>
    <x:xf numFmtId="201" fontId="8" fillId="3" borderId="2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4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6fafb49ef4501" /><Relationship Type="http://schemas.openxmlformats.org/officeDocument/2006/relationships/theme" Target="/xl/theme/theme1.xml" Id="Rde2bfcc22c094de7" /><Relationship Type="http://schemas.openxmlformats.org/officeDocument/2006/relationships/sharedStrings" Target="/xl/sharedStrings.xml" Id="R784a8b78a0424e1b" /><Relationship Type="http://schemas.openxmlformats.org/officeDocument/2006/relationships/worksheet" Target="/xl/worksheets/sheet1.xml" Id="R16f7738bd0204398" /><Relationship Type="http://schemas.openxmlformats.org/officeDocument/2006/relationships/worksheet" Target="/xl/worksheets/sheet2.xml" Id="R45d6b1b477b74c2f" /><Relationship Type="http://schemas.openxmlformats.org/officeDocument/2006/relationships/worksheet" Target="/xl/worksheets/sheet3.xml" Id="R7686ee672ea84e73" /><Relationship Type="http://schemas.openxmlformats.org/officeDocument/2006/relationships/worksheet" Target="/xl/worksheets/sheet4.xml" Id="Rb075848346c74199" /><Relationship Type="http://schemas.openxmlformats.org/officeDocument/2006/relationships/worksheet" Target="/xl/worksheets/sheet5.xml" Id="R021a9032350246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28ae1d8ad6489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062a7f84be044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Recorded outcome counts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</c:v>
          </c:tx>
          <c:invertIfNegative val="0"/>
          <c:cat>
            <c:strLit>
              <c:ptCount val="3"/>
              <c:pt idx="0">
                <c:v>Deceased</c:v>
              </c:pt>
              <c:pt idx="1">
                <c:v>Complicated</c:v>
              </c:pt>
              <c:pt idx="2">
                <c:v>Recovered</c:v>
              </c:pt>
            </c:strLit>
          </c:cat>
          <c:val>
            <c:numLit>
              <c:formatCode>General</c:formatCode>
              <c:ptCount val="3"/>
              <c:pt idx="0">
                <c:v>69</c:v>
              </c:pt>
              <c:pt idx="1">
                <c:v>68</c:v>
              </c:pt>
              <c:pt idx="2">
                <c:v>63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stay by diagnosis (days)</a:t>
            </a:r>
          </a:p>
        </c:rich>
      </c:tx>
      <c:overlay val="0"/>
    </c:title>
    <c:plotArea>
      <c:barChart>
        <c:barDir val="bar"/>
        <c:varyColors val="0"/>
        <c:ser>
          <c:idx val="0"/>
          <c:order val="0"/>
          <c:tx>
            <c:v>Average stay (days)</c:v>
          </c:tx>
          <c:invertIfNegative val="0"/>
          <c:cat>
            <c:strLit>
              <c:ptCount val="10"/>
              <c:pt idx="0">
                <c:v>Hypertension</c:v>
              </c:pt>
              <c:pt idx="1">
                <c:v>Liver Disease</c:v>
              </c:pt>
              <c:pt idx="2">
                <c:v>Heart Disease</c:v>
              </c:pt>
              <c:pt idx="3">
                <c:v>Stroke</c:v>
              </c:pt>
              <c:pt idx="4">
                <c:v>COPD</c:v>
              </c:pt>
              <c:pt idx="5">
                <c:v>Cancer</c:v>
              </c:pt>
              <c:pt idx="6">
                <c:v>Arthritis</c:v>
              </c:pt>
              <c:pt idx="7">
                <c:v>Asthma</c:v>
              </c:pt>
              <c:pt idx="8">
                <c:v>Diabetes</c:v>
              </c:pt>
              <c:pt idx="9">
                <c:v>Kidney Disease</c:v>
              </c:pt>
            </c:strLit>
          </c:cat>
          <c:val>
            <c:numLit>
              <c:formatCode>General</c:formatCode>
              <c:ptCount val="10"/>
              <c:pt idx="0">
                <c:v>27.2</c:v>
              </c:pt>
              <c:pt idx="1">
                <c:v>21.8</c:v>
              </c:pt>
              <c:pt idx="2">
                <c:v>25.8</c:v>
              </c:pt>
              <c:pt idx="3">
                <c:v>41.1</c:v>
              </c:pt>
              <c:pt idx="4">
                <c:v>29.3</c:v>
              </c:pt>
              <c:pt idx="5">
                <c:v>27</c:v>
              </c:pt>
              <c:pt idx="6">
                <c:v>41.6</c:v>
              </c:pt>
              <c:pt idx="7">
                <c:v>23.6</c:v>
              </c:pt>
              <c:pt idx="8">
                <c:v>34.1</c:v>
              </c:pt>
              <c:pt idx="9">
                <c:v>18</c:v>
              </c:pt>
            </c:numLit>
          </c:val>
        </c:ser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3</xdr:row>
      <xdr:rowOff>0</xdr:rowOff>
    </xdr:from>
    <xdr:ext cx="4572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28ae1d8ad6489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5143500" cy="3714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62a7f84be044ac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8aabc1a42b43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1368226745449a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8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6" customHeight="1">
      <x:c r="A1" s="3" t="str">
        <x:v>Healthcare Analytics Capstone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Course dataset summary • aggregate analysis only • patient names and IDs are not included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8" t="str">
        <x:v>Recorded outcome</x:v>
      </x:c>
      <x:c r="B4" s="8" t="str">
        <x:v>Records</x:v>
      </x:c>
      <x:c r="C4" s="8" t="str">
        <x:v>Share of records</x:v>
      </x:c>
      <x:c r="D4" s="2"/>
      <x:c r="E4" s="2"/>
      <x:c r="F4" s="2"/>
      <x:c r="G4" s="2"/>
      <x:c r="H4" s="2"/>
      <x:c r="I4" s="2"/>
      <x:c r="J4" s="2"/>
    </x:row>
    <x:row r="5">
      <x:c r="A5" s="11" t="str">
        <x:v>Deceased</x:v>
      </x:c>
      <x:c r="B5" s="12" t="n">
        <x:v>69</x:v>
      </x:c>
      <x:c r="C5" s="13" t="n">
        <x:f>B5/SUM($B$5:$B$7)</x:f>
        <x:v>0.345</x:v>
      </x:c>
      <x:c r="D5" s="2"/>
      <x:c r="E5" s="2"/>
      <x:c r="F5" s="2"/>
      <x:c r="G5" s="2"/>
      <x:c r="H5" s="2"/>
      <x:c r="I5" s="2"/>
      <x:c r="J5" s="2"/>
    </x:row>
    <x:row r="6">
      <x:c r="A6" s="14" t="str">
        <x:v>Complicated</x:v>
      </x:c>
      <x:c r="B6" s="15" t="n">
        <x:v>68</x:v>
      </x:c>
      <x:c r="C6" s="16" t="n">
        <x:f>B6/SUM($B$5:$B$7)</x:f>
        <x:v>0.34</x:v>
      </x:c>
      <x:c r="D6" s="2"/>
      <x:c r="E6" s="2"/>
      <x:c r="F6" s="2"/>
      <x:c r="G6" s="2"/>
      <x:c r="H6" s="2"/>
      <x:c r="I6" s="2"/>
      <x:c r="J6" s="2"/>
    </x:row>
    <x:row r="7">
      <x:c r="A7" s="14" t="str">
        <x:v>Recovered</x:v>
      </x:c>
      <x:c r="B7" s="15" t="n">
        <x:v>63</x:v>
      </x:c>
      <x:c r="C7" s="16" t="n">
        <x:f>B7/SUM($B$5:$B$7)</x:f>
        <x:v>0.315</x:v>
      </x:c>
      <x:c r="D7" s="2"/>
      <x:c r="E7" s="2"/>
      <x:c r="F7" s="2"/>
      <x:c r="G7" s="2"/>
      <x:c r="H7" s="2"/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30" customHeight="1">
      <x:c r="A10" s="8" t="str">
        <x:v>Dataset context</x:v>
      </x:c>
      <x:c r="B10" s="8" t="str">
        <x:v>Value</x:v>
      </x:c>
      <x:c r="C10" s="2"/>
      <x:c r="D10" s="2"/>
      <x:c r="E10" s="2"/>
      <x:c r="F10" s="2"/>
      <x:c r="G10" s="2"/>
      <x:c r="H10" s="2"/>
      <x:c r="I10" s="2"/>
      <x:c r="J10" s="2"/>
    </x:row>
    <x:row r="11">
      <x:c r="A11" s="11" t="str">
        <x:v>Patient records</x:v>
      </x:c>
      <x:c r="B11" s="12" t="n">
        <x:v>200</x:v>
      </x:c>
      <x:c r="C11" s="2"/>
      <x:c r="D11" s="2"/>
      <x:c r="E11" s="2"/>
      <x:c r="F11" s="2"/>
      <x:c r="G11" s="2"/>
      <x:c r="H11" s="2"/>
      <x:c r="I11" s="2"/>
      <x:c r="J11" s="2"/>
    </x:row>
    <x:row r="12">
      <x:c r="A12" s="14" t="str">
        <x:v>Diagnosis categories</x:v>
      </x:c>
      <x:c r="B12" s="15" t="n">
        <x:v>10</x:v>
      </x:c>
      <x:c r="C12" s="2"/>
      <x:c r="D12" s="2"/>
      <x:c r="E12" s="2"/>
      <x:c r="F12" s="2"/>
      <x:c r="G12" s="2"/>
      <x:c r="H12" s="2"/>
      <x:c r="I12" s="2"/>
      <x:c r="J12" s="2"/>
    </x:row>
    <x:row r="13">
      <x:c r="A13" s="14" t="str">
        <x:v>Lab test labels</x:v>
      </x:c>
      <x:c r="B13" s="15" t="n">
        <x:v>6</x:v>
      </x:c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17" t="str">
        <x:v>Reading the results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19" t="str">
        <x:v>Outcome counts describe this sample; they do not explain causes.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A18" s="19" t="str">
        <x:v>Cross-validation shows weak separation; this model is not clinical.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A19" s="19" t="str">
        <x:v>The source does not define treatment-cost units or currency.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pageMargins left="0.7" right="0.7" top="0.75" bottom="0.75" header="0.3" footer="0.3"/>
  <x:drawing xmlns:r="http://schemas.openxmlformats.org/officeDocument/2006/relationships" r:id="R108aabc1a42b436b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0" hidden="0" customWidth="1"/>
    <x:col min="4" max="4" width="31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6" customHeight="1">
      <x:c r="A1" s="3" t="str">
        <x:v>Diagnosis analysis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Group summaries from SQL • averages describe this dataset only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8" t="str">
        <x:v>Diagnosis</x:v>
      </x:c>
      <x:c r="B4" s="8" t="str">
        <x:v>Patient records</x:v>
      </x:c>
      <x:c r="C4" s="8" t="str">
        <x:v>Average stay (days)</x:v>
      </x:c>
      <x:c r="D4" s="8" t="str">
        <x:v>Average treatment cost (source units)</x:v>
      </x:c>
      <x:c r="E4" s="2"/>
      <x:c r="F4" s="2"/>
      <x:c r="G4" s="2"/>
      <x:c r="H4" s="2"/>
      <x:c r="I4" s="2"/>
      <x:c r="J4" s="2"/>
      <x:c r="K4" s="2"/>
    </x:row>
    <x:row r="5">
      <x:c r="A5" s="11" t="str">
        <x:v>Hypertension</x:v>
      </x:c>
      <x:c r="B5" s="12" t="n">
        <x:v>28</x:v>
      </x:c>
      <x:c r="C5" s="20" t="n">
        <x:v>27.2</x:v>
      </x:c>
      <x:c r="D5" s="22" t="n">
        <x:v>5854.5</x:v>
      </x:c>
      <x:c r="E5" s="2"/>
      <x:c r="F5" s="2"/>
      <x:c r="G5" s="2"/>
      <x:c r="H5" s="2"/>
      <x:c r="I5" s="2"/>
      <x:c r="J5" s="2"/>
      <x:c r="K5" s="2"/>
    </x:row>
    <x:row r="6">
      <x:c r="A6" s="14" t="str">
        <x:v>Liver Disease</x:v>
      </x:c>
      <x:c r="B6" s="15" t="n">
        <x:v>26</x:v>
      </x:c>
      <x:c r="C6" s="21" t="n">
        <x:v>21.8</x:v>
      </x:c>
      <x:c r="D6" s="23" t="n">
        <x:v>5976</x:v>
      </x:c>
      <x:c r="E6" s="2"/>
      <x:c r="F6" s="2"/>
      <x:c r="G6" s="2"/>
      <x:c r="H6" s="2"/>
      <x:c r="I6" s="2"/>
      <x:c r="J6" s="2"/>
      <x:c r="K6" s="2"/>
    </x:row>
    <x:row r="7">
      <x:c r="A7" s="14" t="str">
        <x:v>Heart Disease</x:v>
      </x:c>
      <x:c r="B7" s="15" t="n">
        <x:v>24</x:v>
      </x:c>
      <x:c r="C7" s="21" t="n">
        <x:v>25.8</x:v>
      </x:c>
      <x:c r="D7" s="23" t="n">
        <x:v>6236.71</x:v>
      </x:c>
      <x:c r="E7" s="2"/>
      <x:c r="F7" s="2"/>
      <x:c r="G7" s="2"/>
      <x:c r="H7" s="2"/>
      <x:c r="I7" s="2"/>
      <x:c r="J7" s="2"/>
      <x:c r="K7" s="2"/>
    </x:row>
    <x:row r="8">
      <x:c r="A8" s="14" t="str">
        <x:v>Stroke</x:v>
      </x:c>
      <x:c r="B8" s="15" t="n">
        <x:v>23</x:v>
      </x:c>
      <x:c r="C8" s="21" t="n">
        <x:v>41.1</x:v>
      </x:c>
      <x:c r="D8" s="23" t="n">
        <x:v>6267.35</x:v>
      </x:c>
      <x:c r="E8" s="2"/>
      <x:c r="F8" s="2"/>
      <x:c r="G8" s="2"/>
      <x:c r="H8" s="2"/>
      <x:c r="I8" s="2"/>
      <x:c r="J8" s="2"/>
      <x:c r="K8" s="2"/>
    </x:row>
    <x:row r="9">
      <x:c r="A9" s="14" t="str">
        <x:v>COPD</x:v>
      </x:c>
      <x:c r="B9" s="15" t="n">
        <x:v>20</x:v>
      </x:c>
      <x:c r="C9" s="21" t="n">
        <x:v>29.3</x:v>
      </x:c>
      <x:c r="D9" s="23" t="n">
        <x:v>5532.7</x:v>
      </x:c>
      <x:c r="E9" s="2"/>
      <x:c r="F9" s="2"/>
      <x:c r="G9" s="2"/>
      <x:c r="H9" s="2"/>
      <x:c r="I9" s="2"/>
      <x:c r="J9" s="2"/>
      <x:c r="K9" s="2"/>
    </x:row>
    <x:row r="10">
      <x:c r="A10" s="14" t="str">
        <x:v>Cancer</x:v>
      </x:c>
      <x:c r="B10" s="15" t="n">
        <x:v>18</x:v>
      </x:c>
      <x:c r="C10" s="21" t="n">
        <x:v>27</x:v>
      </x:c>
      <x:c r="D10" s="23" t="n">
        <x:v>6234.39</x:v>
      </x:c>
      <x:c r="E10" s="2"/>
      <x:c r="F10" s="2"/>
      <x:c r="G10" s="2"/>
      <x:c r="H10" s="2"/>
      <x:c r="I10" s="2"/>
      <x:c r="J10" s="2"/>
      <x:c r="K10" s="2"/>
    </x:row>
    <x:row r="11">
      <x:c r="A11" s="14" t="str">
        <x:v>Arthritis</x:v>
      </x:c>
      <x:c r="B11" s="15" t="n">
        <x:v>17</x:v>
      </x:c>
      <x:c r="C11" s="21" t="n">
        <x:v>41.6</x:v>
      </x:c>
      <x:c r="D11" s="23" t="n">
        <x:v>6678.76</x:v>
      </x:c>
      <x:c r="E11" s="2"/>
      <x:c r="F11" s="2"/>
      <x:c r="G11" s="2"/>
      <x:c r="H11" s="2"/>
      <x:c r="I11" s="2"/>
      <x:c r="J11" s="2"/>
      <x:c r="K11" s="2"/>
    </x:row>
    <x:row r="12">
      <x:c r="A12" s="14" t="str">
        <x:v>Asthma</x:v>
      </x:c>
      <x:c r="B12" s="15" t="n">
        <x:v>17</x:v>
      </x:c>
      <x:c r="C12" s="21" t="n">
        <x:v>23.6</x:v>
      </x:c>
      <x:c r="D12" s="23" t="n">
        <x:v>6090.82</x:v>
      </x:c>
      <x:c r="E12" s="2"/>
      <x:c r="F12" s="2"/>
      <x:c r="G12" s="2"/>
      <x:c r="H12" s="2"/>
      <x:c r="I12" s="2"/>
      <x:c r="J12" s="2"/>
      <x:c r="K12" s="2"/>
    </x:row>
    <x:row r="13">
      <x:c r="A13" s="14" t="str">
        <x:v>Diabetes</x:v>
      </x:c>
      <x:c r="B13" s="15" t="n">
        <x:v>17</x:v>
      </x:c>
      <x:c r="C13" s="21" t="n">
        <x:v>34.1</x:v>
      </x:c>
      <x:c r="D13" s="23" t="n">
        <x:v>6153.18</x:v>
      </x:c>
      <x:c r="E13" s="2"/>
      <x:c r="F13" s="2"/>
      <x:c r="G13" s="2"/>
      <x:c r="H13" s="2"/>
      <x:c r="I13" s="2"/>
      <x:c r="J13" s="2"/>
      <x:c r="K13" s="2"/>
    </x:row>
    <x:row r="14">
      <x:c r="A14" s="14" t="str">
        <x:v>Kidney Disease</x:v>
      </x:c>
      <x:c r="B14" s="15" t="n">
        <x:v>10</x:v>
      </x:c>
      <x:c r="C14" s="21" t="n">
        <x:v>18</x:v>
      </x:c>
      <x:c r="D14" s="23" t="n">
        <x:v>6329</x:v>
      </x:c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4" t="str">
        <x:v>Note: the source does not state treatment-cost currency or units.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</x:sheetData>
  <x:pageMargins left="0.7" right="0.7" top="0.75" bottom="0.75" header="0.3" footer="0.3"/>
  <x:drawing xmlns:r="http://schemas.openxmlformats.org/officeDocument/2006/relationships" r:id="Rb1368226745449a0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3" t="str">
        <x:v>Outcome mix by diagnosis</x:v>
      </x:c>
      <x:c r="B1" s="2"/>
      <x:c r="C1" s="2"/>
      <x:c r="D1" s="2"/>
      <x:c r="E1" s="2"/>
      <x:c r="F1" s="2"/>
      <x:c r="G1" s="2"/>
    </x:row>
    <x:row r="2">
      <x:c r="A2" s="4" t="str">
        <x:v>High-risk label = Complicated or Deceased; this is a course-project definition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0" customHeight="1">
      <x:c r="A4" s="8" t="str">
        <x:v>Diagnosis</x:v>
      </x:c>
      <x:c r="B4" s="8" t="str">
        <x:v>Deceased</x:v>
      </x:c>
      <x:c r="C4" s="8" t="str">
        <x:v>Complicated</x:v>
      </x:c>
      <x:c r="D4" s="8" t="str">
        <x:v>Recovered</x:v>
      </x:c>
      <x:c r="E4" s="8" t="str">
        <x:v>Total</x:v>
      </x:c>
      <x:c r="F4" s="8" t="str">
        <x:v>High-risk labels</x:v>
      </x:c>
      <x:c r="G4" s="8" t="str">
        <x:v>High-risk share</x:v>
      </x:c>
    </x:row>
    <x:row r="5">
      <x:c r="A5" s="11" t="str">
        <x:v>Arthritis</x:v>
      </x:c>
      <x:c r="B5" s="12" t="n">
        <x:v>8</x:v>
      </x:c>
      <x:c r="C5" s="12" t="n">
        <x:v>5</x:v>
      </x:c>
      <x:c r="D5" s="12" t="n">
        <x:v>4</x:v>
      </x:c>
      <x:c r="E5" s="12" t="n">
        <x:f>SUM(B5:D5)</x:f>
        <x:v>17</x:v>
      </x:c>
      <x:c r="F5" s="12" t="n">
        <x:f>SUM(B5:C5)</x:f>
        <x:v>13</x:v>
      </x:c>
      <x:c r="G5" s="13" t="n">
        <x:f>F5/E5</x:f>
        <x:v>0.7647058823529411</x:v>
      </x:c>
    </x:row>
    <x:row r="6">
      <x:c r="A6" s="14" t="str">
        <x:v>Asthma</x:v>
      </x:c>
      <x:c r="B6" s="15" t="n">
        <x:v>3</x:v>
      </x:c>
      <x:c r="C6" s="15" t="n">
        <x:v>6</x:v>
      </x:c>
      <x:c r="D6" s="15" t="n">
        <x:v>8</x:v>
      </x:c>
      <x:c r="E6" s="15" t="n">
        <x:f>SUM(B6:D6)</x:f>
        <x:v>17</x:v>
      </x:c>
      <x:c r="F6" s="15" t="n">
        <x:f>SUM(B6:C6)</x:f>
        <x:v>9</x:v>
      </x:c>
      <x:c r="G6" s="16" t="n">
        <x:f>F6/E6</x:f>
        <x:v>0.5294117647058824</x:v>
      </x:c>
    </x:row>
    <x:row r="7">
      <x:c r="A7" s="14" t="str">
        <x:v>COPD</x:v>
      </x:c>
      <x:c r="B7" s="15" t="n">
        <x:v>10</x:v>
      </x:c>
      <x:c r="C7" s="15" t="n">
        <x:v>6</x:v>
      </x:c>
      <x:c r="D7" s="15" t="n">
        <x:v>4</x:v>
      </x:c>
      <x:c r="E7" s="15" t="n">
        <x:f>SUM(B7:D7)</x:f>
        <x:v>20</x:v>
      </x:c>
      <x:c r="F7" s="15" t="n">
        <x:f>SUM(B7:C7)</x:f>
        <x:v>16</x:v>
      </x:c>
      <x:c r="G7" s="16" t="n">
        <x:f>F7/E7</x:f>
        <x:v>0.8</x:v>
      </x:c>
    </x:row>
    <x:row r="8">
      <x:c r="A8" s="14" t="str">
        <x:v>Cancer</x:v>
      </x:c>
      <x:c r="B8" s="15" t="n">
        <x:v>8</x:v>
      </x:c>
      <x:c r="C8" s="15" t="n">
        <x:v>5</x:v>
      </x:c>
      <x:c r="D8" s="15" t="n">
        <x:v>5</x:v>
      </x:c>
      <x:c r="E8" s="15" t="n">
        <x:f>SUM(B8:D8)</x:f>
        <x:v>18</x:v>
      </x:c>
      <x:c r="F8" s="15" t="n">
        <x:f>SUM(B8:C8)</x:f>
        <x:v>13</x:v>
      </x:c>
      <x:c r="G8" s="16" t="n">
        <x:f>F8/E8</x:f>
        <x:v>0.7222222222222222</x:v>
      </x:c>
    </x:row>
    <x:row r="9">
      <x:c r="A9" s="14" t="str">
        <x:v>Diabetes</x:v>
      </x:c>
      <x:c r="B9" s="15" t="n">
        <x:v>3</x:v>
      </x:c>
      <x:c r="C9" s="15" t="n">
        <x:v>9</x:v>
      </x:c>
      <x:c r="D9" s="15" t="n">
        <x:v>5</x:v>
      </x:c>
      <x:c r="E9" s="15" t="n">
        <x:f>SUM(B9:D9)</x:f>
        <x:v>17</x:v>
      </x:c>
      <x:c r="F9" s="15" t="n">
        <x:f>SUM(B9:C9)</x:f>
        <x:v>12</x:v>
      </x:c>
      <x:c r="G9" s="16" t="n">
        <x:f>F9/E9</x:f>
        <x:v>0.7058823529411765</x:v>
      </x:c>
    </x:row>
    <x:row r="10">
      <x:c r="A10" s="14" t="str">
        <x:v>Heart Disease</x:v>
      </x:c>
      <x:c r="B10" s="15" t="n">
        <x:v>6</x:v>
      </x:c>
      <x:c r="C10" s="15" t="n">
        <x:v>9</x:v>
      </x:c>
      <x:c r="D10" s="15" t="n">
        <x:v>9</x:v>
      </x:c>
      <x:c r="E10" s="15" t="n">
        <x:f>SUM(B10:D10)</x:f>
        <x:v>24</x:v>
      </x:c>
      <x:c r="F10" s="15" t="n">
        <x:f>SUM(B10:C10)</x:f>
        <x:v>15</x:v>
      </x:c>
      <x:c r="G10" s="16" t="n">
        <x:f>F10/E10</x:f>
        <x:v>0.625</x:v>
      </x:c>
    </x:row>
    <x:row r="11">
      <x:c r="A11" s="14" t="str">
        <x:v>Hypertension</x:v>
      </x:c>
      <x:c r="B11" s="15" t="n">
        <x:v>12</x:v>
      </x:c>
      <x:c r="C11" s="15" t="n">
        <x:v>11</x:v>
      </x:c>
      <x:c r="D11" s="15" t="n">
        <x:v>5</x:v>
      </x:c>
      <x:c r="E11" s="15" t="n">
        <x:f>SUM(B11:D11)</x:f>
        <x:v>28</x:v>
      </x:c>
      <x:c r="F11" s="15" t="n">
        <x:f>SUM(B11:C11)</x:f>
        <x:v>23</x:v>
      </x:c>
      <x:c r="G11" s="16" t="n">
        <x:f>F11/E11</x:f>
        <x:v>0.8214285714285714</x:v>
      </x:c>
    </x:row>
    <x:row r="12">
      <x:c r="A12" s="14" t="str">
        <x:v>Kidney Disease</x:v>
      </x:c>
      <x:c r="B12" s="15" t="n">
        <x:v>4</x:v>
      </x:c>
      <x:c r="C12" s="15" t="n">
        <x:v>3</x:v>
      </x:c>
      <x:c r="D12" s="15" t="n">
        <x:v>3</x:v>
      </x:c>
      <x:c r="E12" s="15" t="n">
        <x:f>SUM(B12:D12)</x:f>
        <x:v>10</x:v>
      </x:c>
      <x:c r="F12" s="15" t="n">
        <x:f>SUM(B12:C12)</x:f>
        <x:v>7</x:v>
      </x:c>
      <x:c r="G12" s="16" t="n">
        <x:f>F12/E12</x:f>
        <x:v>0.7</x:v>
      </x:c>
    </x:row>
    <x:row r="13">
      <x:c r="A13" s="14" t="str">
        <x:v>Liver Disease</x:v>
      </x:c>
      <x:c r="B13" s="15" t="n">
        <x:v>6</x:v>
      </x:c>
      <x:c r="C13" s="15" t="n">
        <x:v>7</x:v>
      </x:c>
      <x:c r="D13" s="15" t="n">
        <x:v>13</x:v>
      </x:c>
      <x:c r="E13" s="15" t="n">
        <x:f>SUM(B13:D13)</x:f>
        <x:v>26</x:v>
      </x:c>
      <x:c r="F13" s="15" t="n">
        <x:f>SUM(B13:C13)</x:f>
        <x:v>13</x:v>
      </x:c>
      <x:c r="G13" s="16" t="n">
        <x:f>F13/E13</x:f>
        <x:v>0.5</x:v>
      </x:c>
    </x:row>
    <x:row r="14">
      <x:c r="A14" s="14" t="str">
        <x:v>Stroke</x:v>
      </x:c>
      <x:c r="B14" s="15" t="n">
        <x:v>9</x:v>
      </x:c>
      <x:c r="C14" s="15" t="n">
        <x:v>7</x:v>
      </x:c>
      <x:c r="D14" s="15" t="n">
        <x:v>7</x:v>
      </x:c>
      <x:c r="E14" s="15" t="n">
        <x:f>SUM(B14:D14)</x:f>
        <x:v>23</x:v>
      </x:c>
      <x:c r="F14" s="15" t="n">
        <x:f>SUM(B14:C14)</x:f>
        <x:v>16</x:v>
      </x:c>
      <x:c r="G14" s="16" t="n">
        <x:f>F14/E14</x:f>
        <x:v>0.6956521739130435</x:v>
      </x:c>
    </x:row>
    <x:row r="15">
      <x:c r="A15" s="26" t="str">
        <x:v>Total</x:v>
      </x:c>
      <x:c r="B15" s="27" t="n">
        <x:f>SUM(B5:B14)</x:f>
        <x:v>69</x:v>
      </x:c>
      <x:c r="C15" s="27" t="n">
        <x:f>SUM(C5:C14)</x:f>
        <x:v>68</x:v>
      </x:c>
      <x:c r="D15" s="27" t="n">
        <x:f>SUM(D5:D14)</x:f>
        <x:v>63</x:v>
      </x:c>
      <x:c r="E15" s="27" t="n">
        <x:f>SUM(E5:E14)</x:f>
        <x:v>200</x:v>
      </x:c>
      <x:c r="F15" s="27" t="n">
        <x:f>SUM(F5:F14)</x:f>
        <x:v>137</x:v>
      </x:c>
      <x:c r="G15" s="28" t="n">
        <x:f>F15/E15</x:f>
        <x:v>0.685</x:v>
      </x:c>
    </x:row>
    <x:row r="16">
      <x:c r="A16" s="2"/>
      <x:c r="B16" s="2"/>
      <x:c r="C16" s="2"/>
      <x:c r="D16" s="2"/>
      <x:c r="E16" s="2"/>
      <x:c r="F16" s="2"/>
      <x:c r="G16" s="2"/>
    </x:row>
    <x:row r="17">
      <x:c r="A17" s="4" t="str">
        <x:v>Small groups can produce unstable percentages; review the record counts beside every rate.</x:v>
      </x:c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34" hidden="0" customWidth="1"/>
    <x:col min="4" max="4" width="17" hidden="0" customWidth="1"/>
    <x:col min="5" max="5" width="34" hidden="0" customWidth="1"/>
  </x:cols>
  <x:sheetData>
    <x:row r="1" ht="26" customHeight="1">
      <x:c r="A1" s="3" t="str">
        <x:v>Data quality review</x:v>
      </x:c>
      <x:c r="B1" s="2"/>
      <x:c r="C1" s="2"/>
      <x:c r="D1" s="2"/>
      <x:c r="E1" s="2"/>
      <x:c r="F1" s="2"/>
    </x:row>
    <x:row r="2">
      <x:c r="A2" s="4" t="str">
        <x:v>Aggregate checks on imported source tables; no patient-level rows are shown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0" customHeight="1">
      <x:c r="A4" s="8" t="str">
        <x:v>Check</x:v>
      </x:c>
      <x:c r="B4" s="8" t="str">
        <x:v>Count</x:v>
      </x:c>
      <x:c r="C4" s="8" t="str">
        <x:v>Meaning</x:v>
      </x:c>
      <x:c r="D4" s="8" t="str">
        <x:v>Status</x:v>
      </x:c>
      <x:c r="E4" s="2"/>
      <x:c r="F4" s="2"/>
    </x:row>
    <x:row r="5" ht="28" customHeight="1">
      <x:c r="A5" s="11" t="str">
        <x:v>Patient records</x:v>
      </x:c>
      <x:c r="B5" s="12" t="n">
        <x:v>200</x:v>
      </x:c>
      <x:c r="C5" s="29" t="str">
        <x:v>Source table row count</x:v>
      </x:c>
      <x:c r="D5" s="31" t="str">
        <x:v>Informational</x:v>
      </x:c>
      <x:c r="E5" s="2"/>
      <x:c r="F5" s="2"/>
    </x:row>
    <x:row r="6" ht="28" customHeight="1">
      <x:c r="A6" s="14" t="str">
        <x:v>Distinct patient IDs</x:v>
      </x:c>
      <x:c r="B6" s="15" t="n">
        <x:v>200</x:v>
      </x:c>
      <x:c r="C6" s="30" t="str">
        <x:v>Expected one unique key per patient</x:v>
      </x:c>
      <x:c r="D6" s="32" t="str">
        <x:v>Pass</x:v>
      </x:c>
      <x:c r="E6" s="2"/>
      <x:c r="F6" s="2"/>
    </x:row>
    <x:row r="7" ht="28" customHeight="1">
      <x:c r="A7" s="14" t="str">
        <x:v>Duplicate patient IDs</x:v>
      </x:c>
      <x:c r="B7" s="15" t="n">
        <x:v>0</x:v>
      </x:c>
      <x:c r="C7" s="30" t="str">
        <x:v>Should be zero</x:v>
      </x:c>
      <x:c r="D7" s="32" t="str">
        <x:v>Pass</x:v>
      </x:c>
      <x:c r="E7" s="2"/>
      <x:c r="F7" s="2"/>
    </x:row>
    <x:row r="8" ht="28" customHeight="1">
      <x:c r="A8" s="14" t="str">
        <x:v>Duplicate lab IDs</x:v>
      </x:c>
      <x:c r="B8" s="15" t="n">
        <x:v>0</x:v>
      </x:c>
      <x:c r="C8" s="30" t="str">
        <x:v>Should be zero</x:v>
      </x:c>
      <x:c r="D8" s="32" t="str">
        <x:v>Pass</x:v>
      </x:c>
      <x:c r="E8" s="2"/>
      <x:c r="F8" s="2"/>
    </x:row>
    <x:row r="9" ht="28" customHeight="1">
      <x:c r="A9" s="14" t="str">
        <x:v>Missing patient ages</x:v>
      </x:c>
      <x:c r="B9" s="15" t="n">
        <x:v>0</x:v>
      </x:c>
      <x:c r="C9" s="30" t="str">
        <x:v>Required for the baseline model</x:v>
      </x:c>
      <x:c r="D9" s="32" t="str">
        <x:v>Pass</x:v>
      </x:c>
      <x:c r="E9" s="2"/>
      <x:c r="F9" s="2"/>
    </x:row>
    <x:row r="10" ht="28" customHeight="1">
      <x:c r="A10" s="14" t="str">
        <x:v>Missing admission/discharge dates</x:v>
      </x:c>
      <x:c r="B10" s="15" t="n">
        <x:v>0</x:v>
      </x:c>
      <x:c r="C10" s="30" t="str">
        <x:v>Dates used for stay-length analysis</x:v>
      </x:c>
      <x:c r="D10" s="32" t="str">
        <x:v>Pass</x:v>
      </x:c>
      <x:c r="E10" s="2"/>
      <x:c r="F10" s="2"/>
    </x:row>
    <x:row r="11" ht="28" customHeight="1">
      <x:c r="A11" s="14" t="str">
        <x:v>Discharge before admission</x:v>
      </x:c>
      <x:c r="B11" s="15" t="n">
        <x:v>0</x:v>
      </x:c>
      <x:c r="C11" s="30" t="str">
        <x:v>Should be zero</x:v>
      </x:c>
      <x:c r="D11" s="32" t="str">
        <x:v>Pass</x:v>
      </x:c>
      <x:c r="E11" s="2"/>
      <x:c r="F11" s="2"/>
    </x:row>
    <x:row r="12" ht="28" customHeight="1">
      <x:c r="A12" s="14" t="str">
        <x:v>Patients without matching diagnosis</x:v>
      </x:c>
      <x:c r="B12" s="15" t="n">
        <x:v>0</x:v>
      </x:c>
      <x:c r="C12" s="30" t="str">
        <x:v>Join integrity check</x:v>
      </x:c>
      <x:c r="D12" s="32" t="str">
        <x:v>Pass</x:v>
      </x:c>
      <x:c r="E12" s="2"/>
      <x:c r="F12" s="2"/>
    </x:row>
    <x:row r="13" ht="28" customHeight="1">
      <x:c r="A13" s="14" t="str">
        <x:v>Patients without matching outcome</x:v>
      </x:c>
      <x:c r="B13" s="15" t="n">
        <x:v>0</x:v>
      </x:c>
      <x:c r="C13" s="30" t="str">
        <x:v>Join integrity check</x:v>
      </x:c>
      <x:c r="D13" s="32" t="str">
        <x:v>Pass</x:v>
      </x:c>
      <x:c r="E13" s="2"/>
      <x:c r="F13" s="2"/>
    </x:row>
    <x:row r="14" ht="28" customHeight="1">
      <x:c r="A14" s="14" t="str">
        <x:v>Labs without matching patient</x:v>
      </x:c>
      <x:c r="B14" s="15" t="n">
        <x:v>0</x:v>
      </x:c>
      <x:c r="C14" s="30" t="str">
        <x:v>Join integrity check</x:v>
      </x:c>
      <x:c r="D14" s="32" t="str">
        <x:v>Pass</x:v>
      </x:c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17" t="str">
        <x:v>Lab reference-range review</x:v>
      </x:c>
      <x:c r="B16" s="2"/>
      <x:c r="C16" s="2"/>
      <x:c r="D16" s="2"/>
      <x:c r="E16" s="2"/>
      <x:c r="F16" s="2"/>
    </x:row>
    <x:row r="17" ht="30" customHeight="1">
      <x:c r="A17" s="8" t="str">
        <x:v>Test label</x:v>
      </x:c>
      <x:c r="B17" s="8" t="str">
        <x:v>Lab records</x:v>
      </x:c>
      <x:c r="C17" s="8" t="str">
        <x:v>Results present</x:v>
      </x:c>
      <x:c r="D17" s="8" t="str">
        <x:v>Distinct ranges</x:v>
      </x:c>
      <x:c r="E17" s="8" t="str">
        <x:v>Review note</x:v>
      </x:c>
      <x:c r="F17" s="2"/>
    </x:row>
    <x:row r="18">
      <x:c r="A18" s="11" t="str">
        <x:v>Vitamin D</x:v>
      </x:c>
      <x:c r="B18" s="12" t="n">
        <x:v>41</x:v>
      </x:c>
      <x:c r="C18" s="12" t="n">
        <x:v>41</x:v>
      </x:c>
      <x:c r="D18" s="12" t="n">
        <x:v>6</x:v>
      </x:c>
      <x:c r="E18" s="33" t="str">
        <x:v>Verify units and definitions</x:v>
      </x:c>
      <x:c r="F18" s="2"/>
    </x:row>
    <x:row r="19">
      <x:c r="A19" s="14" t="str">
        <x:v>Blood Pressure</x:v>
      </x:c>
      <x:c r="B19" s="15" t="n">
        <x:v>37</x:v>
      </x:c>
      <x:c r="C19" s="15" t="n">
        <x:v>37</x:v>
      </x:c>
      <x:c r="D19" s="15" t="n">
        <x:v>6</x:v>
      </x:c>
      <x:c r="E19" s="34" t="str">
        <x:v>Verify units and definitions</x:v>
      </x:c>
      <x:c r="F19" s="2"/>
    </x:row>
    <x:row r="20">
      <x:c r="A20" s="14" t="str">
        <x:v>Blood Sugar</x:v>
      </x:c>
      <x:c r="B20" s="15" t="n">
        <x:v>35</x:v>
      </x:c>
      <x:c r="C20" s="15" t="n">
        <x:v>35</x:v>
      </x:c>
      <x:c r="D20" s="15" t="n">
        <x:v>6</x:v>
      </x:c>
      <x:c r="E20" s="34" t="str">
        <x:v>Verify units and definitions</x:v>
      </x:c>
      <x:c r="F20" s="2"/>
    </x:row>
    <x:row r="21">
      <x:c r="A21" s="14" t="str">
        <x:v>Cholesterol</x:v>
      </x:c>
      <x:c r="B21" s="15" t="n">
        <x:v>33</x:v>
      </x:c>
      <x:c r="C21" s="15" t="n">
        <x:v>33</x:v>
      </x:c>
      <x:c r="D21" s="15" t="n">
        <x:v>6</x:v>
      </x:c>
      <x:c r="E21" s="34" t="str">
        <x:v>Verify units and definitions</x:v>
      </x:c>
      <x:c r="F21" s="2"/>
    </x:row>
    <x:row r="22">
      <x:c r="A22" s="14" t="str">
        <x:v>Creatinine</x:v>
      </x:c>
      <x:c r="B22" s="15" t="n">
        <x:v>28</x:v>
      </x:c>
      <x:c r="C22" s="15" t="n">
        <x:v>28</x:v>
      </x:c>
      <x:c r="D22" s="15" t="n">
        <x:v>6</x:v>
      </x:c>
      <x:c r="E22" s="34" t="str">
        <x:v>Verify units and definitions</x:v>
      </x:c>
      <x:c r="F22" s="2"/>
    </x:row>
    <x:row r="23">
      <x:c r="A23" s="14" t="str">
        <x:v>Hemoglobin</x:v>
      </x:c>
      <x:c r="B23" s="15" t="n">
        <x:v>26</x:v>
      </x:c>
      <x:c r="C23" s="15" t="n">
        <x:v>26</x:v>
      </x:c>
      <x:c r="D23" s="15" t="n">
        <x:v>6</x:v>
      </x:c>
      <x:c r="E23" s="34" t="str">
        <x:v>Verify units and definitions</x:v>
      </x:c>
      <x:c r="F23" s="2"/>
    </x:row>
    <x:row r="24">
      <x:c r="A24" s="2"/>
      <x:c r="B24" s="2"/>
      <x:c r="C24" s="2"/>
      <x:c r="D24" s="2"/>
      <x:c r="E24" s="2"/>
      <x:c r="F24" s="2"/>
    </x:row>
    <x:row r="25" ht="32" customHeight="1">
      <x:c r="A25" s="36" t="str">
        <x:v>Source: user-provided course CSVs, imported into the local SQLite database. Only grouped summaries are included in this workbook.</x:v>
      </x:c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47" hidden="0" customWidth="1"/>
  </x:cols>
  <x:sheetData>
    <x:row r="1" ht="26" customHeight="1">
      <x:c r="A1" s="3" t="str">
        <x:v>Model review</x:v>
      </x:c>
      <x:c r="B1" s="2"/>
      <x:c r="C1" s="2"/>
      <x:c r="D1" s="2"/>
    </x:row>
    <x:row r="2">
      <x:c r="A2" s="4" t="str">
        <x:v>Stratified 5-fold out-of-fold evaluation • 200 course records</x:v>
      </x:c>
      <x:c r="B2" s="2"/>
      <x:c r="C2" s="2"/>
      <x:c r="D2" s="2"/>
    </x:row>
    <x:row r="3">
      <x:c r="A3" s="2"/>
      <x:c r="B3" s="2"/>
      <x:c r="C3" s="2"/>
      <x:c r="D3" s="2"/>
    </x:row>
    <x:row r="4" ht="30" customHeight="1">
      <x:c r="A4" s="8" t="str">
        <x:v>Metric</x:v>
      </x:c>
      <x:c r="B4" s="8" t="str">
        <x:v>Logistic regression</x:v>
      </x:c>
      <x:c r="C4" s="8" t="str">
        <x:v>Majority baseline</x:v>
      </x:c>
      <x:c r="D4" s="8" t="str">
        <x:v>What it tells us</x:v>
      </x:c>
    </x:row>
    <x:row r="5">
      <x:c r="A5" s="11" t="str">
        <x:v>Accuracy</x:v>
      </x:c>
      <x:c r="B5" s="13" t="n">
        <x:v>0.67</x:v>
      </x:c>
      <x:c r="C5" s="13" t="n">
        <x:v>0.685</x:v>
      </x:c>
      <x:c r="D5" s="11" t="str">
        <x:v>Overall share of correct labels</x:v>
      </x:c>
    </x:row>
    <x:row r="6">
      <x:c r="A6" s="14" t="str">
        <x:v>Balanced accuracy</x:v>
      </x:c>
      <x:c r="B6" s="16" t="n">
        <x:v>0.5061985864905573</x:v>
      </x:c>
      <x:c r="C6" s="16" t="n">
        <x:v>0.5</x:v>
      </x:c>
      <x:c r="D6" s="14" t="str">
        <x:v>Average recall across both classes</x:v>
      </x:c>
    </x:row>
    <x:row r="7">
      <x:c r="A7" s="14" t="str">
        <x:v>High-risk recall</x:v>
      </x:c>
      <x:c r="B7" s="16" t="n">
        <x:v>0.948905109489051</x:v>
      </x:c>
      <x:c r="C7" s="16" t="n">
        <x:v>1</x:v>
      </x:c>
      <x:c r="D7" s="14" t="str">
        <x:v>Share of high-risk labels found</x:v>
      </x:c>
    </x:row>
    <x:row r="8">
      <x:c r="A8" s="14" t="str">
        <x:v>Recovered specificity</x:v>
      </x:c>
      <x:c r="B8" s="16" t="n">
        <x:v>0.06349206349206349</x:v>
      </x:c>
      <x:c r="C8" s="16" t="n">
        <x:v>0</x:v>
      </x:c>
      <x:c r="D8" s="14" t="str">
        <x:v>Share of recovered labels recognized</x:v>
      </x:c>
    </x:row>
    <x:row r="9">
      <x:c r="A9" s="14" t="str">
        <x:v>ROC AUC</x:v>
      </x:c>
      <x:c r="B9" s="37" t="n">
        <x:v>0.5363804889352334</x:v>
      </x:c>
      <x:c r="C9" s="37" t="n">
        <x:v>0.5</x:v>
      </x:c>
      <x:c r="D9" s="14" t="str">
        <x:v>Ranking separation; 0.50 is chance-level</x:v>
      </x:c>
    </x:row>
    <x:row r="10">
      <x:c r="A10" s="14" t="str">
        <x:v>Average precision</x:v>
      </x:c>
      <x:c r="B10" s="37" t="n">
        <x:v>0.6885086536113247</x:v>
      </x:c>
      <x:c r="C10" s="37" t="n">
        <x:v>0.685</x:v>
      </x:c>
      <x:c r="D10" s="14" t="str">
        <x:v>Precision/recall summary for positive class</x:v>
      </x:c>
    </x:row>
    <x:row r="11">
      <x:c r="A11" s="14" t="str">
        <x:v>High-risk records</x:v>
      </x:c>
      <x:c r="B11" s="15" t="n">
        <x:v>137</x:v>
      </x:c>
      <x:c r="C11" s="14"/>
      <x:c r="D11" s="14" t="str">
        <x:v>Complicated or Deceased labels</x:v>
      </x:c>
    </x:row>
    <x:row r="12">
      <x:c r="A12" s="14" t="str">
        <x:v>Recovered records</x:v>
      </x:c>
      <x:c r="B12" s="15" t="n">
        <x:v>63</x:v>
      </x:c>
      <x:c r="C12" s="14"/>
      <x:c r="D12" s="14" t="str">
        <x:v>Recovered labels</x:v>
      </x:c>
    </x:row>
    <x:row r="13">
      <x:c r="A13" s="2"/>
      <x:c r="B13" s="2"/>
      <x:c r="C13" s="2"/>
      <x:c r="D13" s="2"/>
    </x:row>
    <x:row r="14">
      <x:c r="A14" s="17" t="str">
        <x:v>Interpretation</x:v>
      </x:c>
      <x:c r="B14" s="2"/>
      <x:c r="C14" s="2"/>
      <x:c r="D14" s="2"/>
    </x:row>
    <x:row r="15" ht="24" customHeight="1">
      <x:c r="A15" s="19" t="str">
        <x:v>ROC AUC 0.536; recovered specificity 0.063. Separation is weak, and few recovered cases are recognized at the 0.50 threshold.</x:v>
      </x:c>
      <x:c r="B15" s="2"/>
      <x:c r="C15" s="2"/>
      <x:c r="D15" s="2"/>
    </x:row>
    <x:row r="16" ht="24" customHeight="1">
      <x:c r="A16" s="19" t="str">
        <x:v>Small retrospective sample; the score is not validated or calibrated and must not guide care decisions.</x:v>
      </x:c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</x:sheetData>
  <x:pageMargins left="0.7" right="0.7" top="0.75" bottom="0.75" header="0.3" footer="0.3"/>
</x:worksheet>
</file>